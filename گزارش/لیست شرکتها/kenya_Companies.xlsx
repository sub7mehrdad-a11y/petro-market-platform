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تحلیل بازار کنیا\"/>
    </mc:Choice>
  </mc:AlternateContent>
  <xr:revisionPtr revIDLastSave="0" documentId="13_ncr:1_{5F301DD6-BE89-41B7-9598-09D4E79B46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Jordan_Companies" sheetId="1" r:id="rId1"/>
  </sheets>
  <definedNames>
    <definedName name="_xlnm._FilterDatabase" localSheetId="0" hidden="1">Cleaned_Jordan_Companies!$A$1:$H$5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25" i="1"/>
  <c r="F17" i="1"/>
  <c r="F12" i="1"/>
</calcChain>
</file>

<file path=xl/sharedStrings.xml><?xml version="1.0" encoding="utf-8"?>
<sst xmlns="http://schemas.openxmlformats.org/spreadsheetml/2006/main" count="369" uniqueCount="277">
  <si>
    <t>English Name</t>
  </si>
  <si>
    <t>Industry</t>
  </si>
  <si>
    <t>Target Grade</t>
  </si>
  <si>
    <t>Purchasing Potential</t>
  </si>
  <si>
    <t>Address</t>
  </si>
  <si>
    <t>Phone</t>
  </si>
  <si>
    <t>Email</t>
  </si>
  <si>
    <t>Website</t>
  </si>
  <si>
    <t>Unga Group Plc</t>
  </si>
  <si>
    <t>آردسازی و غذاسازی (آرد، نان، رول، کیک و شیرینی)</t>
  </si>
  <si>
    <t>خوراکی (Food Grade)</t>
  </si>
  <si>
    <t>P.O. Box 30386, Commercial Street, Nairobi</t>
  </si>
  <si>
    <t>customercare@unga.com</t>
  </si>
  <si>
    <t>unga-group.com</t>
  </si>
  <si>
    <t>Pack Ingredients EA Ltd</t>
  </si>
  <si>
    <t>افزودنی‌های نانوایی و آردسازی</t>
  </si>
  <si>
    <t>خوراکی</t>
  </si>
  <si>
    <t>Athi River, Athi 55 Business Park, Godown No.9 (Mombasa Rd), Nairobi</t>
  </si>
  <si>
    <t>finebake@packingredients.com</t>
  </si>
  <si>
    <t>packingredients.com</t>
  </si>
  <si>
    <t>Maya E.A. Limited</t>
  </si>
  <si>
    <t>مواد اولیه نانوایی و افزودنی‌های غذایی</t>
  </si>
  <si>
    <t>Off Mombasa Rd, ICD Road, Ideal Ceramics Building, Nairobi</t>
  </si>
  <si>
    <t>info@mayaealtd.com</t>
  </si>
  <si>
    <t>mayaеaltd.com</t>
  </si>
  <si>
    <t>Stern Ingredients East Africa Limited</t>
  </si>
  <si>
    <t>افزودنی‌های نانوایی (آلمانی-کنیایی)</t>
  </si>
  <si>
    <t>Mayfair Business Centre, Msapo Close off Parklands Rd, Nairobi (P.O.Box 2941-00606)</t>
  </si>
  <si>
    <t>Kenya Sweets Limited (KSL)</t>
  </si>
  <si>
    <t>شیرینی‌سازی و آب‌نبات</t>
  </si>
  <si>
    <t>Old Mombasa Road, Off City Cabanas, Nairobi</t>
  </si>
  <si>
    <t>+254-725-575575 / (020) 3520575-7</t>
  </si>
  <si>
    <t>sales@kenyasweets.com</t>
  </si>
  <si>
    <t>kenyasweets.com</t>
  </si>
  <si>
    <t>Bakels East Africa</t>
  </si>
  <si>
    <t>مواد اولیه نانوایی و قنادی</t>
  </si>
  <si>
    <t>The Link – Logistics &amp; Business Park, Warehouse No.1, Tatu City, Ruiru</t>
  </si>
  <si>
    <t>info@bakelseastafrica.com</t>
  </si>
  <si>
    <t>bakelseastafrica.com</t>
  </si>
  <si>
    <t>Ennsvalley Bakery Ltd.</t>
  </si>
  <si>
    <t>نانوایی صنعتی</t>
  </si>
  <si>
    <t>Enterprise Road, Industrial Area, Nairobi</t>
  </si>
  <si>
    <t>Bio-Medica Laboratories Ltd</t>
  </si>
  <si>
    <t>افزودنی‌های غذایی و آفت‌کش‌های ارگانیک</t>
  </si>
  <si>
    <t>Bio-Medica House, Off North Airport Road, Embakasi, Nairobi (P.O.Box 66627-00800)</t>
  </si>
  <si>
    <t>info@bio-medica.co.ke</t>
  </si>
  <si>
    <t>Kenafric Industries Ltd</t>
  </si>
  <si>
    <t>کیک، بیسکویت و محصولات آردی</t>
  </si>
  <si>
    <t>Nairobi</t>
  </si>
  <si>
    <t>Bakhresa Group (Azam Foods E.A. Ltd)</t>
  </si>
  <si>
    <t>بیسکویت، نوشیدنی، آرد</t>
  </si>
  <si>
    <t>خوراکی/صنعتی</t>
  </si>
  <si>
    <t>متوسط</t>
  </si>
  <si>
    <t>توزیع‌کننده/واردکننده</t>
  </si>
  <si>
    <t>Protea Chemicals Kenya Ltd.</t>
  </si>
  <si>
    <t>عرضه‌کننده مواد شیمیایی</t>
  </si>
  <si>
    <t>صنعتی/خوراکی</t>
  </si>
  <si>
    <t>+254 794 264 488</t>
  </si>
  <si>
    <t>+254 743 590 495</t>
  </si>
  <si>
    <t>www.sterningredients.ke</t>
  </si>
  <si>
    <t>info@sterningredients.ke</t>
  </si>
  <si>
    <t>+254 2020 – 78376</t>
  </si>
  <si>
    <t>+254 113 284 411</t>
  </si>
  <si>
    <t>sales@ennsvalleybakery.com</t>
  </si>
  <si>
    <t>https://www.ennsvalley-bakery.com</t>
  </si>
  <si>
    <t>+254 727 034 566</t>
  </si>
  <si>
    <t>https://bio-medica.co.ke/</t>
  </si>
  <si>
    <t>https://www.kenafricind.com/</t>
  </si>
  <si>
    <t>+254 730 700 000</t>
  </si>
  <si>
    <t>info@kenafricind.com</t>
  </si>
  <si>
    <t>azambiscuits@bakhresa.com</t>
  </si>
  <si>
    <t>+255 718 694 859</t>
  </si>
  <si>
    <t>https://bakhresa.com/bakery-confectionery-division/</t>
  </si>
  <si>
    <t>+254 2542723828</t>
  </si>
  <si>
    <t>DPL Festive Limited</t>
  </si>
  <si>
    <t>نان صنعتی و محصولات آردی</t>
  </si>
  <si>
    <t>بسیار بالا</t>
  </si>
  <si>
    <t>Manji Food Industries</t>
  </si>
  <si>
    <t>بیسکویت و کیک</t>
  </si>
  <si>
    <t>De Heus Kenya</t>
  </si>
  <si>
    <t>خوراک دام و طیور</t>
  </si>
  <si>
    <t>دامی (Feed Grade)</t>
  </si>
  <si>
    <t>Athi River, Kenya</t>
  </si>
  <si>
    <t>Sigma Feeds Limited</t>
  </si>
  <si>
    <t>بالا</t>
  </si>
  <si>
    <t>Belfast Millers (Belmill Feeds)</t>
  </si>
  <si>
    <t>New Kenya Co-operative Creameries (New KCC)</t>
  </si>
  <si>
    <t>لبنیات (شیرخشک، کره، پنیر)</t>
  </si>
  <si>
    <t>دامی/شستشو</t>
  </si>
  <si>
    <t>Creamery House, Dakar Road, Nairobi</t>
  </si>
  <si>
    <t>info@newkcc.co.ke</t>
  </si>
  <si>
    <t>IMCD Kenya</t>
  </si>
  <si>
    <t>توزیع‌کننده مواد شیمیایی</t>
  </si>
  <si>
    <t>Twiga Chemical Industries Ltd</t>
  </si>
  <si>
    <t>واردکننده مواد شیمیایی</t>
  </si>
  <si>
    <t>خوراکی/دامی</t>
  </si>
  <si>
    <t>Ol Kalou Road, Industrial Area, Nairobi</t>
  </si>
  <si>
    <t>info@twiga-chem.com</t>
  </si>
  <si>
    <t>Kenya Chemical</t>
  </si>
  <si>
    <t>تامین‌کننده مواد شیمیایی</t>
  </si>
  <si>
    <t>Mombasa / Nairobi</t>
  </si>
  <si>
    <t>kenyachemical.com</t>
  </si>
  <si>
    <t>Reucher Africa Kenya Ltd</t>
  </si>
  <si>
    <t>واردکننده افزودنی‌های غذایی</t>
  </si>
  <si>
    <t>customercare@festivebrands.co.ke</t>
  </si>
  <si>
    <t>+254 20 217 7474</t>
  </si>
  <si>
    <t>https://www.dplfestive.com</t>
  </si>
  <si>
    <t>info@manji.co.ke</t>
  </si>
  <si>
    <t>+254 722 203626</t>
  </si>
  <si>
    <t>https://manji.co.ke/</t>
  </si>
  <si>
    <t>info.ke@deheus.com</t>
  </si>
  <si>
    <t>+254 742 521 632</t>
  </si>
  <si>
    <t>https://www.deheus.co.ke</t>
  </si>
  <si>
    <t>info@sigmakenya.com</t>
  </si>
  <si>
    <t>+254 721 560 251</t>
  </si>
  <si>
    <t>https://www.sigmafeeds.com/#</t>
  </si>
  <si>
    <t>info@belmill.com</t>
  </si>
  <si>
    <t>+254 708 874820</t>
  </si>
  <si>
    <t>https://belmill.com/</t>
  </si>
  <si>
    <t>+254 780 936557</t>
  </si>
  <si>
    <t>https://www.newkcc.co.ke/</t>
  </si>
  <si>
    <t>https://www.imcd.co.ke/</t>
  </si>
  <si>
    <t>+254 707 765559</t>
  </si>
  <si>
    <t>https://twigachemicals.com/</t>
  </si>
  <si>
    <t>+254 722 207 847</t>
  </si>
  <si>
    <t>kenyachem @ gmail.com</t>
  </si>
  <si>
    <t>info@reucherafricakenyaltd.co.ke</t>
  </si>
  <si>
    <t>(+254) 719 621 621</t>
  </si>
  <si>
    <t>+254 20 7603136</t>
  </si>
  <si>
    <t xml:space="preserve">بسیار بالا </t>
  </si>
  <si>
    <t xml:space="preserve">بالا </t>
  </si>
  <si>
    <t xml:space="preserve">متوسط </t>
  </si>
  <si>
    <t>Desbro (Kenya) Limited</t>
  </si>
  <si>
    <t>توزیع‌کننده مواد شیمیایی صنعتی و تصفیه آب</t>
  </si>
  <si>
    <t>صنعتی</t>
  </si>
  <si>
    <t>Kampala Road, Industrial Area, Nairobi</t>
  </si>
  <si>
    <t>info@desbrokenya.com</t>
  </si>
  <si>
    <t>Orbit Chemical Industries Ltd</t>
  </si>
  <si>
    <t>تولید مواد شوینده، کود و مواد شیمیایی</t>
  </si>
  <si>
    <t>Mombasa Road, Nairobi</t>
  </si>
  <si>
    <t>orbitchem.com</t>
  </si>
  <si>
    <t>Bidco Africa</t>
  </si>
  <si>
    <t>تولید مواد شوینده و صابون</t>
  </si>
  <si>
    <t>General Kago Road, Thika</t>
  </si>
  <si>
    <t>Pwani Oil Products Limited</t>
  </si>
  <si>
    <t>Mombasa, Kenya</t>
  </si>
  <si>
    <t>info@pwani.net</t>
  </si>
  <si>
    <t>pwani.net</t>
  </si>
  <si>
    <t xml:space="preserve">www.desbrogroup.com </t>
  </si>
  <si>
    <t>orbit@orbitchem.com</t>
  </si>
  <si>
    <t>happy@bidcoafrica.com</t>
  </si>
  <si>
    <t>https://reucherafricakenyaltd.co.ke/</t>
  </si>
  <si>
    <t>Broadway Bakery / Bakex Millers</t>
  </si>
  <si>
    <t>نانوایی و آردسازی</t>
  </si>
  <si>
    <t>P.O. Box 25, Thika, Kenya</t>
  </si>
  <si>
    <t>+254 717 080 024</t>
  </si>
  <si>
    <t>bakex.co.ke</t>
  </si>
  <si>
    <t>Capwell Industries Ltd</t>
  </si>
  <si>
    <t>تولید مواد غذایی و نوشیدنی</t>
  </si>
  <si>
    <t>P.O Box 8139-00200 Nairobi</t>
  </si>
  <si>
    <t>admin@capwell.co.ke</t>
  </si>
  <si>
    <t>capwell.co.ke</t>
  </si>
  <si>
    <t>Redachem</t>
  </si>
  <si>
    <t>خوراکی / صنعتی</t>
  </si>
  <si>
    <t>Kenya</t>
  </si>
  <si>
    <t>-</t>
  </si>
  <si>
    <t>redachem.com</t>
  </si>
  <si>
    <t>Mixgo</t>
  </si>
  <si>
    <t>صنایع غذایی / میکس‌ها</t>
  </si>
  <si>
    <t>نامشخص</t>
  </si>
  <si>
    <t>Skypex Supplies</t>
  </si>
  <si>
    <t>تامین‌کننده تجهیزات/مواد</t>
  </si>
  <si>
    <t>MIAVIT KENYA LTD</t>
  </si>
  <si>
    <t>مکمل‌ها و افزودنی‌های خوراک دام و طیور</t>
  </si>
  <si>
    <t>خوراک دام (Feed Grade)</t>
  </si>
  <si>
    <t>miavit.com</t>
  </si>
  <si>
    <t>خوراکی / خوراک دام</t>
  </si>
  <si>
    <t>Meru Dairy (Mount Kenya Milk)</t>
  </si>
  <si>
    <t>تعاونی و فرآوری شیر</t>
  </si>
  <si>
    <t>P.O. Box 2919, Meru, Kenya</t>
  </si>
  <si>
    <t>+254 710 901376</t>
  </si>
  <si>
    <t>maziwa@merudairy.co.ke</t>
  </si>
  <si>
    <t>merudairy.co.ke</t>
  </si>
  <si>
    <t>Githunguri Dairy (Fresha Milk)</t>
  </si>
  <si>
    <t>تعاونی تولید شیر</t>
  </si>
  <si>
    <t>P.O Box 3, Githunguri, Kenya</t>
  </si>
  <si>
    <t>info@fresha.co.ke</t>
  </si>
  <si>
    <t>fresha.co.ke</t>
  </si>
  <si>
    <t>Brookside Dairy</t>
  </si>
  <si>
    <t>فرآوری لبنیات خصوصی</t>
  </si>
  <si>
    <t>Biashara, Off Thika Rd, P.O. Box 236-00232, Ruiru, Kenya</t>
  </si>
  <si>
    <t>+254 722 130000</t>
  </si>
  <si>
    <t>maziwa@brookside.co.ke</t>
  </si>
  <si>
    <t>brookside.co.ke</t>
  </si>
  <si>
    <t>Mukurwe-ini Wakulima Dairy</t>
  </si>
  <si>
    <t>تعاونی لبنی و تولید خوراک دام</t>
  </si>
  <si>
    <t>خوراک دام / خوراکی</t>
  </si>
  <si>
    <t>P.O Box 232-10103, Mukurwe-ini, Kenya</t>
  </si>
  <si>
    <t>+254 722 814900</t>
  </si>
  <si>
    <t>info@wakulimadairy.co.ke</t>
  </si>
  <si>
    <t>wakulimadairy.co.ke</t>
  </si>
  <si>
    <t>Kinangop Dairy</t>
  </si>
  <si>
    <t>تعاونی و فرآوری لبنیات</t>
  </si>
  <si>
    <t>Olkalou Road, Ndunyu Njeru, North Kinangop, Kenya</t>
  </si>
  <si>
    <t>+254 711 791 548</t>
  </si>
  <si>
    <t>info@kinangopdairy.co.ke</t>
  </si>
  <si>
    <t>kinangopdairy.co.ke</t>
  </si>
  <si>
    <t>Happy Cow Ltd</t>
  </si>
  <si>
    <t>فرآوری شیر (پنیر و ماست)</t>
  </si>
  <si>
    <t>Naka Estate, Oginga Odinga Rd, P.O. Box 558-20100, Nakuru</t>
  </si>
  <si>
    <t>info@happycowkenya.com</t>
  </si>
  <si>
    <t>happycowkenya.com</t>
  </si>
  <si>
    <t>Limuru Dairy Farmers Cooperative</t>
  </si>
  <si>
    <t>تعاونی لبنی و نهاده‌های دامی</t>
  </si>
  <si>
    <t>Maziwa house, P.O. Box 8-00217, Limuru, Kenya</t>
  </si>
  <si>
    <t>info@limurudairy.co.ke</t>
  </si>
  <si>
    <t>limurudairy.co.ke</t>
  </si>
  <si>
    <t>Murang'a County Creameries Cooperative Union</t>
  </si>
  <si>
    <t>Maragua, Murang'a County, Kenya</t>
  </si>
  <si>
    <t>+254 791 031654</t>
  </si>
  <si>
    <t>murangacountycreameries.com</t>
  </si>
  <si>
    <t>Nyala Dairy Farm</t>
  </si>
  <si>
    <t>دامداری صنعتی شیری</t>
  </si>
  <si>
    <t>خوراک دام</t>
  </si>
  <si>
    <t>Manuchar Kenya Limited</t>
  </si>
  <si>
    <t>توزیع مواد شیمیایی و لجستیک</t>
  </si>
  <si>
    <t>صنعتی / خوراکی</t>
  </si>
  <si>
    <t>Crater Building, 5th Floor off Mombasa Rd, Nairobi</t>
  </si>
  <si>
    <t>+254 20 6005282</t>
  </si>
  <si>
    <t>kenya.contact@manuchar.com</t>
  </si>
  <si>
    <t>manuchar.com</t>
  </si>
  <si>
    <t>Essential Drugs Ltd</t>
  </si>
  <si>
    <t>دارویی و دامپزشکی (مکمل خوراک دام)</t>
  </si>
  <si>
    <t>5th Floor Waumini House, Westlands, Nairobi</t>
  </si>
  <si>
    <t>info@essential-drugs.com</t>
  </si>
  <si>
    <t>essential-drugs.com</t>
  </si>
  <si>
    <t>Uchumi Chemicals Limited</t>
  </si>
  <si>
    <t>تولید کالاهای مصرفی (FMCG) و غذایی</t>
  </si>
  <si>
    <t>+254 67 2821000</t>
  </si>
  <si>
    <t>bidcoafrica.com</t>
  </si>
  <si>
    <t>Kapa Oil Refineries Ltd</t>
  </si>
  <si>
    <t>کالاهای مصرفی و روغن خوراکی و شوینده</t>
  </si>
  <si>
    <t>Main Mombasa Road, P.O. Box 18492-00500, Nairobi</t>
  </si>
  <si>
    <t>+254 722 515 172</t>
  </si>
  <si>
    <t>info@kapa-oil.com</t>
  </si>
  <si>
    <t>kapa-oil.com</t>
  </si>
  <si>
    <t>Triclover Industries (K) Limited</t>
  </si>
  <si>
    <t>صنایع غذایی و آرایشی بهداشتی</t>
  </si>
  <si>
    <t>Mombasa Road Opposite Alpha Centre, Nairobi</t>
  </si>
  <si>
    <t>+254 722 206 598</t>
  </si>
  <si>
    <t>info@triclover.co.ke</t>
  </si>
  <si>
    <t>tricloverindustries.co.ke</t>
  </si>
  <si>
    <t>Gonas Best Ltd</t>
  </si>
  <si>
    <t>صنایع غذایی و افزودنی‌ها</t>
  </si>
  <si>
    <t>Viwandani Lusingeti Rd, Off Likoni Rd, Nairobi</t>
  </si>
  <si>
    <t>business@gonasbestk.com</t>
  </si>
  <si>
    <t>صنعت دباغی و چرم‌سازی</t>
  </si>
  <si>
    <t>Athi River Tanneries Ltd</t>
  </si>
  <si>
    <t>P.O Box 503-00204, Athi River</t>
  </si>
  <si>
    <t>+254 722 881 024</t>
  </si>
  <si>
    <t>athirivertanneries.co.ke</t>
  </si>
  <si>
    <t>admin@athirivertanneries.co.ke md@athirivertanneries.co.ke</t>
  </si>
  <si>
    <t>info@bakex.co.ke info@broadway.co.ke</t>
  </si>
  <si>
    <t>+254 724 237000</t>
  </si>
  <si>
    <t>+254 705787878</t>
  </si>
  <si>
    <t>https://gonasbestk.com/</t>
  </si>
  <si>
    <t>saleskenya@miavit.com</t>
  </si>
  <si>
    <t>+254 798 935 605</t>
  </si>
  <si>
    <t>362407713@qq.com</t>
  </si>
  <si>
    <t>https://www.mixgoke.com/</t>
  </si>
  <si>
    <t>+254 791 070222</t>
  </si>
  <si>
    <t>nyalamaziwa@gmail.com</t>
  </si>
  <si>
    <t>management@redachem.com kenya@redachem.com</t>
  </si>
  <si>
    <t>sales@skypex.co.ke</t>
  </si>
  <si>
    <t>https://www.skypex.co.ke/</t>
  </si>
  <si>
    <t>info@uchumichem.co.ke</t>
  </si>
  <si>
    <t>254 722 511350 25420533372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</si>
</sst>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1" fontId="0" fillId="0" borderId="0" xfId="0" applyNumberFormat="1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1" fillId="4" borderId="0" xfId="1" applyFill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 wrapText="1"/>
    </xf>
    <xf numFmtId="0" fontId="1" fillId="4" borderId="2" xfId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0" xfId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 wrapText="1"/>
    </xf>
    <xf numFmtId="1" fontId="0" fillId="6" borderId="2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6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1" fontId="0" fillId="4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kenafricind.com" TargetMode="External"/><Relationship Id="rId13" Type="http://schemas.openxmlformats.org/officeDocument/2006/relationships/hyperlink" Target="mailto:info.ke@deheus.com" TargetMode="External"/><Relationship Id="rId18" Type="http://schemas.openxmlformats.org/officeDocument/2006/relationships/hyperlink" Target="https://wa.me/254780936557" TargetMode="External"/><Relationship Id="rId26" Type="http://schemas.openxmlformats.org/officeDocument/2006/relationships/hyperlink" Target="mailto:saleskenya@miavit.com" TargetMode="External"/><Relationship Id="rId3" Type="http://schemas.openxmlformats.org/officeDocument/2006/relationships/hyperlink" Target="mailto:info@sterningredients.ke" TargetMode="External"/><Relationship Id="rId21" Type="http://schemas.openxmlformats.org/officeDocument/2006/relationships/hyperlink" Target="tel:+254%20-%20020%20-%20557600" TargetMode="External"/><Relationship Id="rId7" Type="http://schemas.openxmlformats.org/officeDocument/2006/relationships/hyperlink" Target="tel:+254730700000" TargetMode="External"/><Relationship Id="rId12" Type="http://schemas.openxmlformats.org/officeDocument/2006/relationships/hyperlink" Target="tel:+254722203626" TargetMode="External"/><Relationship Id="rId17" Type="http://schemas.openxmlformats.org/officeDocument/2006/relationships/hyperlink" Target="mailto:info@newkcc.co.ke" TargetMode="External"/><Relationship Id="rId25" Type="http://schemas.openxmlformats.org/officeDocument/2006/relationships/hyperlink" Target="https://www.google.com/search?client=firefox-b-d&amp;q=IMCD+Kenya+" TargetMode="External"/><Relationship Id="rId2" Type="http://schemas.openxmlformats.org/officeDocument/2006/relationships/hyperlink" Target="http://www.sterningredients.ke/" TargetMode="External"/><Relationship Id="rId16" Type="http://schemas.openxmlformats.org/officeDocument/2006/relationships/hyperlink" Target="mailto:info@belmill.com" TargetMode="External"/><Relationship Id="rId20" Type="http://schemas.openxmlformats.org/officeDocument/2006/relationships/hyperlink" Target="https://www.desbrogroup.com/" TargetMode="External"/><Relationship Id="rId29" Type="http://schemas.openxmlformats.org/officeDocument/2006/relationships/hyperlink" Target="https://www.google.com/search?client=firefox-b-d&amp;q=Uchumi+Chemicals+Limited+" TargetMode="External"/><Relationship Id="rId1" Type="http://schemas.openxmlformats.org/officeDocument/2006/relationships/hyperlink" Target="tel:+254743590495" TargetMode="External"/><Relationship Id="rId6" Type="http://schemas.openxmlformats.org/officeDocument/2006/relationships/hyperlink" Target="https://wa.me/254727034566" TargetMode="External"/><Relationship Id="rId11" Type="http://schemas.openxmlformats.org/officeDocument/2006/relationships/hyperlink" Target="mailto:info@manji.co.ke" TargetMode="External"/><Relationship Id="rId24" Type="http://schemas.openxmlformats.org/officeDocument/2006/relationships/hyperlink" Target="tel:+254724237000" TargetMode="External"/><Relationship Id="rId5" Type="http://schemas.openxmlformats.org/officeDocument/2006/relationships/hyperlink" Target="https://www.ennsvalley-bakery.com/" TargetMode="External"/><Relationship Id="rId15" Type="http://schemas.openxmlformats.org/officeDocument/2006/relationships/hyperlink" Target="https://www.deheus.co.ke/" TargetMode="External"/><Relationship Id="rId23" Type="http://schemas.openxmlformats.org/officeDocument/2006/relationships/hyperlink" Target="mailto:admin@athirivertanneries.co.ke" TargetMode="External"/><Relationship Id="rId28" Type="http://schemas.openxmlformats.org/officeDocument/2006/relationships/hyperlink" Target="tel:+254701206666" TargetMode="External"/><Relationship Id="rId10" Type="http://schemas.openxmlformats.org/officeDocument/2006/relationships/hyperlink" Target="https://www.dplfestive.com/" TargetMode="External"/><Relationship Id="rId19" Type="http://schemas.openxmlformats.org/officeDocument/2006/relationships/hyperlink" Target="mailto:info@desbrokenya.com" TargetMode="External"/><Relationship Id="rId4" Type="http://schemas.openxmlformats.org/officeDocument/2006/relationships/hyperlink" Target="tel:254720180011" TargetMode="External"/><Relationship Id="rId9" Type="http://schemas.openxmlformats.org/officeDocument/2006/relationships/hyperlink" Target="https://www.google.com/search?client=firefox-b-d&amp;q=Protea+Chemicals+Kenya+Ltd.+" TargetMode="External"/><Relationship Id="rId14" Type="http://schemas.openxmlformats.org/officeDocument/2006/relationships/hyperlink" Target="tel:Tel.%20+254%20742%20521%20632" TargetMode="External"/><Relationship Id="rId22" Type="http://schemas.openxmlformats.org/officeDocument/2006/relationships/hyperlink" Target="mailto:orbit@orbitchem.com" TargetMode="External"/><Relationship Id="rId27" Type="http://schemas.openxmlformats.org/officeDocument/2006/relationships/hyperlink" Target="mailto:36240771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pane ySplit="1" topLeftCell="A2" activePane="bottomLeft" state="frozen"/>
      <selection pane="bottomLeft" activeCell="L42" sqref="L42"/>
    </sheetView>
  </sheetViews>
  <sheetFormatPr defaultRowHeight="13.8" x14ac:dyDescent="0.25"/>
  <cols>
    <col min="1" max="1" width="45" style="4" customWidth="1"/>
    <col min="2" max="2" width="24.296875" style="4" customWidth="1"/>
    <col min="3" max="3" width="17.796875" style="4" customWidth="1"/>
    <col min="4" max="4" width="14.3984375" style="4" customWidth="1"/>
    <col min="5" max="5" width="45" style="4" hidden="1" customWidth="1"/>
    <col min="6" max="6" width="17.3984375" style="1" customWidth="1"/>
    <col min="7" max="7" width="30" style="4" customWidth="1"/>
    <col min="8" max="8" width="45" style="4" customWidth="1"/>
    <col min="9" max="16384" width="8.796875" style="4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10" s="5" customFormat="1" ht="16.8" customHeight="1" x14ac:dyDescent="0.25">
      <c r="A2" s="6" t="s">
        <v>257</v>
      </c>
      <c r="B2" s="6" t="s">
        <v>256</v>
      </c>
      <c r="C2" s="6" t="s">
        <v>134</v>
      </c>
      <c r="D2" s="6" t="s">
        <v>84</v>
      </c>
      <c r="E2" s="6" t="s">
        <v>258</v>
      </c>
      <c r="F2" s="6" t="s">
        <v>259</v>
      </c>
      <c r="G2" s="7" t="s">
        <v>261</v>
      </c>
      <c r="H2" s="6" t="s">
        <v>260</v>
      </c>
      <c r="I2" s="8"/>
      <c r="J2" s="8"/>
    </row>
    <row r="3" spans="1:10" s="5" customFormat="1" ht="27.6" x14ac:dyDescent="0.25">
      <c r="A3" s="9" t="s">
        <v>34</v>
      </c>
      <c r="B3" s="9" t="s">
        <v>35</v>
      </c>
      <c r="C3" s="9" t="s">
        <v>16</v>
      </c>
      <c r="D3" s="9" t="s">
        <v>130</v>
      </c>
      <c r="E3" s="9" t="s">
        <v>36</v>
      </c>
      <c r="F3" s="10" t="s">
        <v>62</v>
      </c>
      <c r="G3" s="9" t="s">
        <v>37</v>
      </c>
      <c r="H3" s="9" t="s">
        <v>38</v>
      </c>
      <c r="I3" s="8"/>
      <c r="J3" s="8"/>
    </row>
    <row r="4" spans="1:10" s="5" customFormat="1" ht="27.6" x14ac:dyDescent="0.25">
      <c r="A4" s="6" t="s">
        <v>141</v>
      </c>
      <c r="B4" s="6" t="s">
        <v>237</v>
      </c>
      <c r="C4" s="6" t="s">
        <v>226</v>
      </c>
      <c r="D4" s="6" t="s">
        <v>76</v>
      </c>
      <c r="E4" s="6" t="s">
        <v>143</v>
      </c>
      <c r="F4" s="6" t="s">
        <v>238</v>
      </c>
      <c r="G4" s="6" t="s">
        <v>150</v>
      </c>
      <c r="H4" s="6" t="s">
        <v>239</v>
      </c>
      <c r="I4" s="8"/>
      <c r="J4" s="8"/>
    </row>
    <row r="5" spans="1:10" s="5" customFormat="1" ht="27.6" x14ac:dyDescent="0.25">
      <c r="A5" s="6" t="s">
        <v>152</v>
      </c>
      <c r="B5" s="6" t="s">
        <v>153</v>
      </c>
      <c r="C5" s="6" t="s">
        <v>10</v>
      </c>
      <c r="D5" s="6" t="s">
        <v>76</v>
      </c>
      <c r="E5" s="6" t="s">
        <v>154</v>
      </c>
      <c r="F5" s="6" t="s">
        <v>155</v>
      </c>
      <c r="G5" s="6" t="s">
        <v>262</v>
      </c>
      <c r="H5" s="6" t="s">
        <v>156</v>
      </c>
      <c r="I5" s="8"/>
      <c r="J5" s="8"/>
    </row>
    <row r="6" spans="1:10" s="5" customFormat="1" ht="27.6" x14ac:dyDescent="0.25">
      <c r="A6" s="6" t="s">
        <v>188</v>
      </c>
      <c r="B6" s="6" t="s">
        <v>189</v>
      </c>
      <c r="C6" s="6" t="s">
        <v>176</v>
      </c>
      <c r="D6" s="6" t="s">
        <v>76</v>
      </c>
      <c r="E6" s="6" t="s">
        <v>190</v>
      </c>
      <c r="F6" s="6" t="s">
        <v>191</v>
      </c>
      <c r="G6" s="6" t="s">
        <v>192</v>
      </c>
      <c r="H6" s="6" t="s">
        <v>193</v>
      </c>
      <c r="I6" s="8"/>
      <c r="J6" s="8"/>
    </row>
    <row r="7" spans="1:10" s="5" customFormat="1" x14ac:dyDescent="0.25">
      <c r="A7" s="6" t="s">
        <v>157</v>
      </c>
      <c r="B7" s="6" t="s">
        <v>158</v>
      </c>
      <c r="C7" s="6" t="s">
        <v>16</v>
      </c>
      <c r="D7" s="6" t="s">
        <v>76</v>
      </c>
      <c r="E7" s="6" t="s">
        <v>159</v>
      </c>
      <c r="F7" s="10" t="s">
        <v>263</v>
      </c>
      <c r="G7" s="6" t="s">
        <v>160</v>
      </c>
      <c r="H7" s="6" t="s">
        <v>161</v>
      </c>
      <c r="I7" s="8"/>
      <c r="J7" s="8"/>
    </row>
    <row r="8" spans="1:10" s="5" customFormat="1" x14ac:dyDescent="0.25">
      <c r="A8" s="8" t="s">
        <v>85</v>
      </c>
      <c r="B8" s="8" t="s">
        <v>80</v>
      </c>
      <c r="C8" s="8" t="s">
        <v>81</v>
      </c>
      <c r="D8" s="8" t="s">
        <v>52</v>
      </c>
      <c r="E8" s="8" t="s">
        <v>48</v>
      </c>
      <c r="F8" s="11" t="s">
        <v>117</v>
      </c>
      <c r="G8" s="10" t="s">
        <v>116</v>
      </c>
      <c r="H8" s="8" t="s">
        <v>118</v>
      </c>
      <c r="I8" s="8"/>
      <c r="J8" s="8"/>
    </row>
    <row r="9" spans="1:10" s="5" customFormat="1" x14ac:dyDescent="0.25">
      <c r="A9" s="9" t="s">
        <v>49</v>
      </c>
      <c r="B9" s="9" t="s">
        <v>50</v>
      </c>
      <c r="C9" s="9" t="s">
        <v>16</v>
      </c>
      <c r="D9" s="9" t="s">
        <v>131</v>
      </c>
      <c r="E9" s="9" t="s">
        <v>48</v>
      </c>
      <c r="F9" s="11" t="s">
        <v>71</v>
      </c>
      <c r="G9" s="11" t="s">
        <v>70</v>
      </c>
      <c r="H9" s="9" t="s">
        <v>72</v>
      </c>
      <c r="I9" s="8"/>
      <c r="J9" s="8"/>
    </row>
    <row r="10" spans="1:10" s="5" customFormat="1" ht="27.6" x14ac:dyDescent="0.25">
      <c r="A10" s="9" t="s">
        <v>42</v>
      </c>
      <c r="B10" s="9" t="s">
        <v>43</v>
      </c>
      <c r="C10" s="9" t="s">
        <v>16</v>
      </c>
      <c r="D10" s="9" t="s">
        <v>131</v>
      </c>
      <c r="E10" s="9" t="s">
        <v>44</v>
      </c>
      <c r="F10" s="12" t="s">
        <v>65</v>
      </c>
      <c r="G10" s="9" t="s">
        <v>45</v>
      </c>
      <c r="H10" s="9" t="s">
        <v>66</v>
      </c>
      <c r="I10" s="8"/>
      <c r="J10" s="8"/>
    </row>
    <row r="11" spans="1:10" s="5" customFormat="1" x14ac:dyDescent="0.25">
      <c r="A11" s="8" t="s">
        <v>79</v>
      </c>
      <c r="B11" s="8" t="s">
        <v>80</v>
      </c>
      <c r="C11" s="8" t="s">
        <v>81</v>
      </c>
      <c r="D11" s="8" t="s">
        <v>76</v>
      </c>
      <c r="E11" s="8" t="s">
        <v>82</v>
      </c>
      <c r="F11" s="10" t="s">
        <v>111</v>
      </c>
      <c r="G11" s="10" t="s">
        <v>110</v>
      </c>
      <c r="H11" s="10" t="s">
        <v>112</v>
      </c>
      <c r="I11" s="8"/>
      <c r="J11" s="8"/>
    </row>
    <row r="12" spans="1:10" s="5" customFormat="1" x14ac:dyDescent="0.25">
      <c r="A12" s="8" t="s">
        <v>132</v>
      </c>
      <c r="B12" s="8" t="s">
        <v>133</v>
      </c>
      <c r="C12" s="8" t="s">
        <v>134</v>
      </c>
      <c r="D12" s="8" t="s">
        <v>76</v>
      </c>
      <c r="E12" s="8" t="s">
        <v>135</v>
      </c>
      <c r="F12" s="10">
        <f>25420557600</f>
        <v>25420557600</v>
      </c>
      <c r="G12" s="10" t="s">
        <v>136</v>
      </c>
      <c r="H12" s="10" t="s">
        <v>148</v>
      </c>
      <c r="I12" s="8"/>
      <c r="J12" s="8"/>
    </row>
    <row r="13" spans="1:10" s="5" customFormat="1" x14ac:dyDescent="0.25">
      <c r="A13" s="8" t="s">
        <v>74</v>
      </c>
      <c r="B13" s="8" t="s">
        <v>75</v>
      </c>
      <c r="C13" s="8" t="s">
        <v>16</v>
      </c>
      <c r="D13" s="8" t="s">
        <v>76</v>
      </c>
      <c r="E13" s="8" t="s">
        <v>48</v>
      </c>
      <c r="F13" s="11" t="s">
        <v>105</v>
      </c>
      <c r="G13" s="11" t="s">
        <v>104</v>
      </c>
      <c r="H13" s="10" t="s">
        <v>106</v>
      </c>
      <c r="I13" s="8"/>
      <c r="J13" s="8"/>
    </row>
    <row r="14" spans="1:10" s="5" customFormat="1" x14ac:dyDescent="0.25">
      <c r="A14" s="13" t="s">
        <v>39</v>
      </c>
      <c r="B14" s="13" t="s">
        <v>40</v>
      </c>
      <c r="C14" s="13" t="s">
        <v>16</v>
      </c>
      <c r="D14" s="13" t="s">
        <v>130</v>
      </c>
      <c r="E14" s="13" t="s">
        <v>41</v>
      </c>
      <c r="F14" s="14">
        <v>254724253333</v>
      </c>
      <c r="G14" s="11" t="s">
        <v>63</v>
      </c>
      <c r="H14" s="10" t="s">
        <v>64</v>
      </c>
      <c r="I14" s="8"/>
      <c r="J14" s="8"/>
    </row>
    <row r="15" spans="1:10" s="5" customFormat="1" ht="27.6" x14ac:dyDescent="0.25">
      <c r="A15" s="6" t="s">
        <v>231</v>
      </c>
      <c r="B15" s="6" t="s">
        <v>232</v>
      </c>
      <c r="C15" s="6" t="s">
        <v>81</v>
      </c>
      <c r="D15" s="6" t="s">
        <v>84</v>
      </c>
      <c r="E15" s="6" t="s">
        <v>233</v>
      </c>
      <c r="F15" s="15">
        <v>254722781620</v>
      </c>
      <c r="G15" s="6" t="s">
        <v>234</v>
      </c>
      <c r="H15" s="6" t="s">
        <v>235</v>
      </c>
      <c r="I15" s="8"/>
      <c r="J15" s="8"/>
    </row>
    <row r="16" spans="1:10" s="5" customFormat="1" x14ac:dyDescent="0.25">
      <c r="A16" s="6" t="s">
        <v>183</v>
      </c>
      <c r="B16" s="6" t="s">
        <v>184</v>
      </c>
      <c r="C16" s="6" t="s">
        <v>176</v>
      </c>
      <c r="D16" s="6" t="s">
        <v>76</v>
      </c>
      <c r="E16" s="6" t="s">
        <v>185</v>
      </c>
      <c r="F16" s="16" t="s">
        <v>264</v>
      </c>
      <c r="G16" s="6" t="s">
        <v>186</v>
      </c>
      <c r="H16" s="6" t="s">
        <v>187</v>
      </c>
      <c r="I16" s="8"/>
      <c r="J16" s="8"/>
    </row>
    <row r="17" spans="1:10" s="5" customFormat="1" x14ac:dyDescent="0.25">
      <c r="A17" s="6" t="s">
        <v>252</v>
      </c>
      <c r="B17" s="6" t="s">
        <v>253</v>
      </c>
      <c r="C17" s="6" t="s">
        <v>10</v>
      </c>
      <c r="D17" s="6" t="s">
        <v>84</v>
      </c>
      <c r="E17" s="6" t="s">
        <v>254</v>
      </c>
      <c r="F17" s="15">
        <f>254716431077</f>
        <v>254716431077</v>
      </c>
      <c r="G17" s="6" t="s">
        <v>255</v>
      </c>
      <c r="H17" s="6" t="s">
        <v>265</v>
      </c>
      <c r="I17" s="8"/>
      <c r="J17" s="8"/>
    </row>
    <row r="18" spans="1:10" ht="28.2" thickBot="1" x14ac:dyDescent="0.3">
      <c r="A18" s="17" t="s">
        <v>207</v>
      </c>
      <c r="B18" s="17" t="s">
        <v>208</v>
      </c>
      <c r="C18" s="17" t="s">
        <v>16</v>
      </c>
      <c r="D18" s="17" t="s">
        <v>84</v>
      </c>
      <c r="E18" s="17" t="s">
        <v>209</v>
      </c>
      <c r="F18" s="17">
        <v>2540727352101</v>
      </c>
      <c r="G18" s="17" t="s">
        <v>210</v>
      </c>
      <c r="H18" s="17" t="s">
        <v>211</v>
      </c>
      <c r="I18" s="18"/>
      <c r="J18" s="18"/>
    </row>
    <row r="19" spans="1:10" ht="14.4" thickBot="1" x14ac:dyDescent="0.3">
      <c r="A19" s="19" t="s">
        <v>91</v>
      </c>
      <c r="B19" s="19" t="s">
        <v>92</v>
      </c>
      <c r="C19" s="19" t="s">
        <v>51</v>
      </c>
      <c r="D19" s="19" t="s">
        <v>76</v>
      </c>
      <c r="E19" s="19" t="s">
        <v>48</v>
      </c>
      <c r="F19" s="20" t="s">
        <v>122</v>
      </c>
      <c r="G19" s="19"/>
      <c r="H19" s="19" t="s">
        <v>121</v>
      </c>
      <c r="I19" s="18"/>
      <c r="J19" s="18"/>
    </row>
    <row r="20" spans="1:10" ht="28.2" thickBot="1" x14ac:dyDescent="0.3">
      <c r="A20" s="21" t="s">
        <v>240</v>
      </c>
      <c r="B20" s="21" t="s">
        <v>241</v>
      </c>
      <c r="C20" s="21" t="s">
        <v>226</v>
      </c>
      <c r="D20" s="21" t="s">
        <v>76</v>
      </c>
      <c r="E20" s="21" t="s">
        <v>242</v>
      </c>
      <c r="F20" s="21" t="s">
        <v>243</v>
      </c>
      <c r="G20" s="21" t="s">
        <v>244</v>
      </c>
      <c r="H20" s="21" t="s">
        <v>245</v>
      </c>
      <c r="I20" s="18"/>
      <c r="J20" s="18"/>
    </row>
    <row r="21" spans="1:10" ht="14.4" thickBot="1" x14ac:dyDescent="0.3">
      <c r="A21" s="22" t="s">
        <v>46</v>
      </c>
      <c r="B21" s="22" t="s">
        <v>47</v>
      </c>
      <c r="C21" s="22" t="s">
        <v>16</v>
      </c>
      <c r="D21" s="22" t="s">
        <v>131</v>
      </c>
      <c r="E21" s="22" t="s">
        <v>48</v>
      </c>
      <c r="F21" s="20" t="s">
        <v>68</v>
      </c>
      <c r="G21" s="20" t="s">
        <v>69</v>
      </c>
      <c r="H21" s="22" t="s">
        <v>67</v>
      </c>
      <c r="I21" s="18"/>
      <c r="J21" s="18"/>
    </row>
    <row r="22" spans="1:10" ht="14.4" thickBot="1" x14ac:dyDescent="0.3">
      <c r="A22" s="19" t="s">
        <v>98</v>
      </c>
      <c r="B22" s="19" t="s">
        <v>99</v>
      </c>
      <c r="C22" s="19" t="s">
        <v>56</v>
      </c>
      <c r="D22" s="19" t="s">
        <v>52</v>
      </c>
      <c r="E22" s="19" t="s">
        <v>100</v>
      </c>
      <c r="F22" s="23">
        <v>254751021020</v>
      </c>
      <c r="G22" s="23" t="s">
        <v>125</v>
      </c>
      <c r="H22" s="23" t="s">
        <v>101</v>
      </c>
      <c r="I22" s="18"/>
      <c r="J22" s="18"/>
    </row>
    <row r="23" spans="1:10" ht="28.2" thickBot="1" x14ac:dyDescent="0.3">
      <c r="A23" s="22" t="s">
        <v>28</v>
      </c>
      <c r="B23" s="22" t="s">
        <v>29</v>
      </c>
      <c r="C23" s="22" t="s">
        <v>16</v>
      </c>
      <c r="D23" s="22" t="s">
        <v>130</v>
      </c>
      <c r="E23" s="22" t="s">
        <v>30</v>
      </c>
      <c r="F23" s="24" t="s">
        <v>31</v>
      </c>
      <c r="G23" s="22" t="s">
        <v>32</v>
      </c>
      <c r="H23" s="22" t="s">
        <v>33</v>
      </c>
      <c r="I23" s="18"/>
      <c r="J23" s="18"/>
    </row>
    <row r="24" spans="1:10" ht="16.8" customHeight="1" thickBot="1" x14ac:dyDescent="0.3">
      <c r="A24" s="21" t="s">
        <v>201</v>
      </c>
      <c r="B24" s="21" t="s">
        <v>202</v>
      </c>
      <c r="C24" s="21" t="s">
        <v>16</v>
      </c>
      <c r="D24" s="21" t="s">
        <v>84</v>
      </c>
      <c r="E24" s="21" t="s">
        <v>203</v>
      </c>
      <c r="F24" s="21" t="s">
        <v>204</v>
      </c>
      <c r="G24" s="21" t="s">
        <v>205</v>
      </c>
      <c r="H24" s="21" t="s">
        <v>206</v>
      </c>
      <c r="I24" s="18"/>
      <c r="J24" s="18"/>
    </row>
    <row r="25" spans="1:10" ht="14.4" thickBot="1" x14ac:dyDescent="0.3">
      <c r="A25" s="21" t="s">
        <v>212</v>
      </c>
      <c r="B25" s="21" t="s">
        <v>213</v>
      </c>
      <c r="C25" s="21" t="s">
        <v>196</v>
      </c>
      <c r="D25" s="21" t="s">
        <v>84</v>
      </c>
      <c r="E25" s="21" t="s">
        <v>214</v>
      </c>
      <c r="F25" s="21">
        <f>2540713833814</f>
        <v>2540713833814</v>
      </c>
      <c r="G25" s="21" t="s">
        <v>215</v>
      </c>
      <c r="H25" s="21" t="s">
        <v>216</v>
      </c>
      <c r="I25" s="18"/>
      <c r="J25" s="18"/>
    </row>
    <row r="26" spans="1:10" ht="14.4" thickBot="1" x14ac:dyDescent="0.3">
      <c r="A26" s="19" t="s">
        <v>77</v>
      </c>
      <c r="B26" s="19" t="s">
        <v>78</v>
      </c>
      <c r="C26" s="19" t="s">
        <v>16</v>
      </c>
      <c r="D26" s="19" t="s">
        <v>76</v>
      </c>
      <c r="E26" s="19" t="s">
        <v>48</v>
      </c>
      <c r="F26" s="20" t="s">
        <v>108</v>
      </c>
      <c r="G26" s="20" t="s">
        <v>107</v>
      </c>
      <c r="H26" s="19" t="s">
        <v>109</v>
      </c>
      <c r="I26" s="18"/>
      <c r="J26" s="18"/>
    </row>
    <row r="27" spans="1:10" ht="14.4" thickBot="1" x14ac:dyDescent="0.3">
      <c r="A27" s="21" t="s">
        <v>224</v>
      </c>
      <c r="B27" s="21" t="s">
        <v>225</v>
      </c>
      <c r="C27" s="21" t="s">
        <v>226</v>
      </c>
      <c r="D27" s="21" t="s">
        <v>76</v>
      </c>
      <c r="E27" s="21" t="s">
        <v>227</v>
      </c>
      <c r="F27" s="21" t="s">
        <v>228</v>
      </c>
      <c r="G27" s="21" t="s">
        <v>229</v>
      </c>
      <c r="H27" s="21" t="s">
        <v>230</v>
      </c>
      <c r="I27" s="18"/>
      <c r="J27" s="18"/>
    </row>
    <row r="28" spans="1:10" ht="28.2" thickBot="1" x14ac:dyDescent="0.3">
      <c r="A28" s="22" t="s">
        <v>20</v>
      </c>
      <c r="B28" s="22" t="s">
        <v>21</v>
      </c>
      <c r="C28" s="22" t="s">
        <v>16</v>
      </c>
      <c r="D28" s="22" t="s">
        <v>129</v>
      </c>
      <c r="E28" s="22" t="s">
        <v>22</v>
      </c>
      <c r="F28" s="20" t="s">
        <v>58</v>
      </c>
      <c r="G28" s="22" t="s">
        <v>23</v>
      </c>
      <c r="H28" s="22" t="s">
        <v>24</v>
      </c>
      <c r="I28" s="18"/>
      <c r="J28" s="18"/>
    </row>
    <row r="29" spans="1:10" ht="14.4" thickBot="1" x14ac:dyDescent="0.3">
      <c r="A29" s="21" t="s">
        <v>177</v>
      </c>
      <c r="B29" s="21" t="s">
        <v>178</v>
      </c>
      <c r="C29" s="21" t="s">
        <v>176</v>
      </c>
      <c r="D29" s="21" t="s">
        <v>76</v>
      </c>
      <c r="E29" s="21" t="s">
        <v>179</v>
      </c>
      <c r="F29" s="21" t="s">
        <v>180</v>
      </c>
      <c r="G29" s="21" t="s">
        <v>181</v>
      </c>
      <c r="H29" s="21" t="s">
        <v>182</v>
      </c>
      <c r="I29" s="18"/>
      <c r="J29" s="18"/>
    </row>
    <row r="30" spans="1:10" ht="28.2" thickBot="1" x14ac:dyDescent="0.3">
      <c r="A30" s="21" t="s">
        <v>172</v>
      </c>
      <c r="B30" s="21" t="s">
        <v>173</v>
      </c>
      <c r="C30" s="21" t="s">
        <v>174</v>
      </c>
      <c r="D30" s="21" t="s">
        <v>76</v>
      </c>
      <c r="E30" s="21" t="s">
        <v>165</v>
      </c>
      <c r="F30" s="15" t="s">
        <v>267</v>
      </c>
      <c r="G30" s="7" t="s">
        <v>266</v>
      </c>
      <c r="H30" s="21" t="s">
        <v>175</v>
      </c>
      <c r="I30" s="18"/>
      <c r="J30" s="18"/>
    </row>
    <row r="31" spans="1:10" ht="14.4" thickBot="1" x14ac:dyDescent="0.3">
      <c r="A31" s="21" t="s">
        <v>167</v>
      </c>
      <c r="B31" s="21" t="s">
        <v>168</v>
      </c>
      <c r="C31" s="21" t="s">
        <v>16</v>
      </c>
      <c r="D31" s="21" t="s">
        <v>169</v>
      </c>
      <c r="E31" s="21" t="s">
        <v>164</v>
      </c>
      <c r="F31" s="7">
        <v>254701206666</v>
      </c>
      <c r="G31" s="7" t="s">
        <v>268</v>
      </c>
      <c r="H31" s="21" t="s">
        <v>269</v>
      </c>
      <c r="I31" s="18"/>
      <c r="J31" s="18"/>
    </row>
    <row r="32" spans="1:10" ht="14.4" thickBot="1" x14ac:dyDescent="0.3">
      <c r="A32" s="21" t="s">
        <v>194</v>
      </c>
      <c r="B32" s="21" t="s">
        <v>195</v>
      </c>
      <c r="C32" s="21" t="s">
        <v>196</v>
      </c>
      <c r="D32" s="21" t="s">
        <v>84</v>
      </c>
      <c r="E32" s="21" t="s">
        <v>197</v>
      </c>
      <c r="F32" s="21" t="s">
        <v>198</v>
      </c>
      <c r="G32" s="21" t="s">
        <v>199</v>
      </c>
      <c r="H32" s="21" t="s">
        <v>200</v>
      </c>
      <c r="I32" s="18"/>
      <c r="J32" s="18"/>
    </row>
    <row r="33" spans="1:10" ht="14.4" thickBot="1" x14ac:dyDescent="0.3">
      <c r="A33" s="21" t="s">
        <v>217</v>
      </c>
      <c r="B33" s="21" t="s">
        <v>202</v>
      </c>
      <c r="C33" s="21" t="s">
        <v>16</v>
      </c>
      <c r="D33" s="21" t="s">
        <v>84</v>
      </c>
      <c r="E33" s="21" t="s">
        <v>218</v>
      </c>
      <c r="F33" s="21" t="s">
        <v>219</v>
      </c>
      <c r="G33" s="21" t="s">
        <v>165</v>
      </c>
      <c r="H33" s="21" t="s">
        <v>220</v>
      </c>
      <c r="I33" s="18"/>
      <c r="J33" s="18"/>
    </row>
    <row r="34" spans="1:10" ht="14.4" thickBot="1" x14ac:dyDescent="0.3">
      <c r="A34" s="19" t="s">
        <v>86</v>
      </c>
      <c r="B34" s="19" t="s">
        <v>87</v>
      </c>
      <c r="C34" s="19" t="s">
        <v>88</v>
      </c>
      <c r="D34" s="19" t="s">
        <v>84</v>
      </c>
      <c r="E34" s="19" t="s">
        <v>89</v>
      </c>
      <c r="F34" s="20" t="s">
        <v>119</v>
      </c>
      <c r="G34" s="20" t="s">
        <v>90</v>
      </c>
      <c r="H34" s="19" t="s">
        <v>120</v>
      </c>
      <c r="I34" s="18"/>
      <c r="J34" s="18"/>
    </row>
    <row r="35" spans="1:10" ht="14.4" thickBot="1" x14ac:dyDescent="0.3">
      <c r="A35" s="21" t="s">
        <v>221</v>
      </c>
      <c r="B35" s="21" t="s">
        <v>222</v>
      </c>
      <c r="C35" s="21" t="s">
        <v>223</v>
      </c>
      <c r="D35" s="21" t="s">
        <v>52</v>
      </c>
      <c r="E35" s="21" t="s">
        <v>164</v>
      </c>
      <c r="F35" s="15" t="s">
        <v>270</v>
      </c>
      <c r="G35" s="15" t="s">
        <v>271</v>
      </c>
      <c r="H35" s="21" t="s">
        <v>165</v>
      </c>
      <c r="I35" s="18"/>
      <c r="J35" s="18"/>
    </row>
    <row r="36" spans="1:10" ht="14.4" thickBot="1" x14ac:dyDescent="0.3">
      <c r="A36" s="19" t="s">
        <v>137</v>
      </c>
      <c r="B36" s="19" t="s">
        <v>138</v>
      </c>
      <c r="C36" s="19" t="s">
        <v>134</v>
      </c>
      <c r="D36" s="19" t="s">
        <v>76</v>
      </c>
      <c r="E36" s="19" t="s">
        <v>139</v>
      </c>
      <c r="F36" s="25">
        <v>254722205505</v>
      </c>
      <c r="G36" s="20" t="s">
        <v>149</v>
      </c>
      <c r="H36" s="19" t="s">
        <v>140</v>
      </c>
      <c r="I36" s="18"/>
      <c r="J36" s="18"/>
    </row>
    <row r="37" spans="1:10" ht="28.2" thickBot="1" x14ac:dyDescent="0.3">
      <c r="A37" s="26" t="s">
        <v>14</v>
      </c>
      <c r="B37" s="26" t="s">
        <v>15</v>
      </c>
      <c r="C37" s="26" t="s">
        <v>16</v>
      </c>
      <c r="D37" s="26" t="s">
        <v>129</v>
      </c>
      <c r="E37" s="26" t="s">
        <v>17</v>
      </c>
      <c r="F37" s="23" t="s">
        <v>57</v>
      </c>
      <c r="G37" s="26" t="s">
        <v>18</v>
      </c>
      <c r="H37" s="26" t="s">
        <v>19</v>
      </c>
      <c r="I37" s="18"/>
      <c r="J37" s="18"/>
    </row>
    <row r="38" spans="1:10" ht="14.4" thickBot="1" x14ac:dyDescent="0.3">
      <c r="A38" s="19" t="s">
        <v>54</v>
      </c>
      <c r="B38" s="19" t="s">
        <v>55</v>
      </c>
      <c r="C38" s="19" t="s">
        <v>56</v>
      </c>
      <c r="D38" s="19" t="s">
        <v>53</v>
      </c>
      <c r="E38" s="19" t="s">
        <v>48</v>
      </c>
      <c r="F38" s="20" t="s">
        <v>73</v>
      </c>
      <c r="G38" s="19"/>
      <c r="H38" s="19"/>
      <c r="I38" s="18"/>
      <c r="J38" s="18"/>
    </row>
    <row r="39" spans="1:10" ht="14.4" thickBot="1" x14ac:dyDescent="0.3">
      <c r="A39" s="19" t="s">
        <v>144</v>
      </c>
      <c r="B39" s="19" t="s">
        <v>142</v>
      </c>
      <c r="C39" s="19" t="s">
        <v>134</v>
      </c>
      <c r="D39" s="19" t="s">
        <v>84</v>
      </c>
      <c r="E39" s="19" t="s">
        <v>145</v>
      </c>
      <c r="F39" s="25">
        <v>254709294100</v>
      </c>
      <c r="G39" s="19" t="s">
        <v>146</v>
      </c>
      <c r="H39" s="19" t="s">
        <v>147</v>
      </c>
      <c r="I39" s="18"/>
      <c r="J39" s="18"/>
    </row>
    <row r="40" spans="1:10" ht="28.2" thickBot="1" x14ac:dyDescent="0.3">
      <c r="A40" s="21" t="s">
        <v>162</v>
      </c>
      <c r="B40" s="21" t="s">
        <v>92</v>
      </c>
      <c r="C40" s="21" t="s">
        <v>163</v>
      </c>
      <c r="D40" s="21" t="s">
        <v>84</v>
      </c>
      <c r="E40" s="21" t="s">
        <v>164</v>
      </c>
      <c r="F40" s="21">
        <f>254799517089 +254737475296</f>
        <v>509536992385</v>
      </c>
      <c r="G40" s="21" t="s">
        <v>272</v>
      </c>
      <c r="H40" s="21" t="s">
        <v>166</v>
      </c>
      <c r="I40" s="18"/>
      <c r="J40" s="18"/>
    </row>
    <row r="41" spans="1:10" ht="14.4" thickBot="1" x14ac:dyDescent="0.3">
      <c r="A41" s="19" t="s">
        <v>102</v>
      </c>
      <c r="B41" s="19" t="s">
        <v>103</v>
      </c>
      <c r="C41" s="19" t="s">
        <v>16</v>
      </c>
      <c r="D41" s="19" t="s">
        <v>52</v>
      </c>
      <c r="E41" s="19" t="s">
        <v>48</v>
      </c>
      <c r="F41" s="23" t="s">
        <v>127</v>
      </c>
      <c r="G41" s="23" t="s">
        <v>126</v>
      </c>
      <c r="H41" s="19" t="s">
        <v>151</v>
      </c>
      <c r="I41" s="18"/>
      <c r="J41" s="18"/>
    </row>
    <row r="42" spans="1:10" ht="14.4" thickBot="1" x14ac:dyDescent="0.3">
      <c r="A42" s="19" t="s">
        <v>83</v>
      </c>
      <c r="B42" s="19" t="s">
        <v>80</v>
      </c>
      <c r="C42" s="19" t="s">
        <v>81</v>
      </c>
      <c r="D42" s="19" t="s">
        <v>84</v>
      </c>
      <c r="E42" s="19" t="s">
        <v>48</v>
      </c>
      <c r="F42" s="23" t="s">
        <v>114</v>
      </c>
      <c r="G42" s="23" t="s">
        <v>113</v>
      </c>
      <c r="H42" s="19" t="s">
        <v>115</v>
      </c>
      <c r="I42" s="18"/>
      <c r="J42" s="18"/>
    </row>
    <row r="43" spans="1:10" ht="14.4" thickBot="1" x14ac:dyDescent="0.3">
      <c r="A43" s="21" t="s">
        <v>170</v>
      </c>
      <c r="B43" s="21" t="s">
        <v>171</v>
      </c>
      <c r="C43" s="21" t="s">
        <v>169</v>
      </c>
      <c r="D43" s="21" t="s">
        <v>169</v>
      </c>
      <c r="E43" s="21" t="s">
        <v>164</v>
      </c>
      <c r="F43" s="21">
        <v>2540734077575</v>
      </c>
      <c r="G43" s="21" t="s">
        <v>273</v>
      </c>
      <c r="H43" s="21" t="s">
        <v>274</v>
      </c>
      <c r="I43" s="18"/>
      <c r="J43" s="18"/>
    </row>
    <row r="44" spans="1:10" ht="28.2" thickBot="1" x14ac:dyDescent="0.3">
      <c r="A44" s="26" t="s">
        <v>25</v>
      </c>
      <c r="B44" s="26" t="s">
        <v>26</v>
      </c>
      <c r="C44" s="26" t="s">
        <v>16</v>
      </c>
      <c r="D44" s="26" t="s">
        <v>130</v>
      </c>
      <c r="E44" s="26" t="s">
        <v>27</v>
      </c>
      <c r="F44" s="23" t="s">
        <v>61</v>
      </c>
      <c r="G44" s="20" t="s">
        <v>60</v>
      </c>
      <c r="H44" s="20" t="s">
        <v>59</v>
      </c>
      <c r="I44" s="18"/>
      <c r="J44" s="18"/>
    </row>
    <row r="45" spans="1:10" ht="14.4" thickBot="1" x14ac:dyDescent="0.3">
      <c r="A45" s="21" t="s">
        <v>246</v>
      </c>
      <c r="B45" s="21" t="s">
        <v>247</v>
      </c>
      <c r="C45" s="21" t="s">
        <v>226</v>
      </c>
      <c r="D45" s="21" t="s">
        <v>84</v>
      </c>
      <c r="E45" s="21" t="s">
        <v>248</v>
      </c>
      <c r="F45" s="21" t="s">
        <v>249</v>
      </c>
      <c r="G45" s="21" t="s">
        <v>250</v>
      </c>
      <c r="H45" s="21" t="s">
        <v>251</v>
      </c>
      <c r="I45" s="18"/>
      <c r="J45" s="18"/>
    </row>
    <row r="46" spans="1:10" ht="14.4" thickBot="1" x14ac:dyDescent="0.3">
      <c r="A46" s="19" t="s">
        <v>93</v>
      </c>
      <c r="B46" s="19" t="s">
        <v>94</v>
      </c>
      <c r="C46" s="19" t="s">
        <v>95</v>
      </c>
      <c r="D46" s="19" t="s">
        <v>84</v>
      </c>
      <c r="E46" s="19" t="s">
        <v>96</v>
      </c>
      <c r="F46" s="23" t="s">
        <v>124</v>
      </c>
      <c r="G46" s="19" t="s">
        <v>97</v>
      </c>
      <c r="H46" s="19" t="s">
        <v>123</v>
      </c>
      <c r="I46" s="18"/>
      <c r="J46" s="18"/>
    </row>
    <row r="47" spans="1:10" ht="14.4" thickBot="1" x14ac:dyDescent="0.3">
      <c r="A47" s="21" t="s">
        <v>236</v>
      </c>
      <c r="B47" s="21" t="s">
        <v>92</v>
      </c>
      <c r="C47" s="21" t="s">
        <v>134</v>
      </c>
      <c r="D47" s="21" t="s">
        <v>52</v>
      </c>
      <c r="E47" s="21" t="s">
        <v>48</v>
      </c>
      <c r="F47" s="7" t="s">
        <v>276</v>
      </c>
      <c r="G47" s="15" t="s">
        <v>275</v>
      </c>
      <c r="H47" s="21" t="s">
        <v>165</v>
      </c>
      <c r="I47" s="18"/>
      <c r="J47" s="18"/>
    </row>
    <row r="48" spans="1:10" ht="28.2" thickBot="1" x14ac:dyDescent="0.3">
      <c r="A48" s="22" t="s">
        <v>8</v>
      </c>
      <c r="B48" s="22" t="s">
        <v>9</v>
      </c>
      <c r="C48" s="22" t="s">
        <v>10</v>
      </c>
      <c r="D48" s="22" t="s">
        <v>129</v>
      </c>
      <c r="E48" s="22" t="s">
        <v>11</v>
      </c>
      <c r="F48" s="23" t="s">
        <v>128</v>
      </c>
      <c r="G48" s="19" t="s">
        <v>12</v>
      </c>
      <c r="H48" s="19" t="s">
        <v>13</v>
      </c>
      <c r="I48" s="18"/>
      <c r="J48" s="18"/>
    </row>
    <row r="49" spans="1:10" x14ac:dyDescent="0.25">
      <c r="A49" s="18"/>
      <c r="B49" s="18"/>
      <c r="C49" s="18"/>
      <c r="D49" s="18"/>
      <c r="E49" s="18"/>
      <c r="F49" s="27"/>
      <c r="G49" s="18"/>
      <c r="H49" s="18"/>
      <c r="I49" s="18"/>
      <c r="J49" s="18"/>
    </row>
  </sheetData>
  <autoFilter ref="A1:H5" xr:uid="{00000000-0009-0000-0000-000000000000}">
    <sortState xmlns:xlrd2="http://schemas.microsoft.com/office/spreadsheetml/2017/richdata2" ref="A2:H10">
      <sortCondition ref="D1:D5"/>
    </sortState>
  </autoFilter>
  <hyperlinks>
    <hyperlink ref="F28" r:id="rId1" display="tel:+254743590495" xr:uid="{E45F4CFA-E464-4061-8BBC-77390DDEAFDA}"/>
    <hyperlink ref="H44" r:id="rId2" display="http://www.sterningredients.ke/" xr:uid="{FD6C41E5-2B1F-4F7C-9ADB-91D393FD6C6E}"/>
    <hyperlink ref="G44" r:id="rId3" display="mailto:info@sterningredients.ke" xr:uid="{7C00C9DA-F6E0-4BEA-9323-6F94B816A255}"/>
    <hyperlink ref="F3" r:id="rId4" display="tel:254720180011" xr:uid="{145D9415-D146-4D3A-937C-6E3FBA884D61}"/>
    <hyperlink ref="H14" r:id="rId5" tooltip="https://www.ennsvalley-bakery.com" display="https://www.ennsvalley-bakery.com/" xr:uid="{8010D979-40B7-4A99-B674-52DC360082D5}"/>
    <hyperlink ref="F10" r:id="rId6" display="https://wa.me/254727034566" xr:uid="{D081E45A-BCAD-476E-99A7-78EB1F0A4C31}"/>
    <hyperlink ref="F21" r:id="rId7" display="tel:+254730700000" xr:uid="{30CDDABC-3949-4476-8296-75C0F7F42695}"/>
    <hyperlink ref="G21" r:id="rId8" display="mailto:info@kenafricind.com" xr:uid="{61B1E97E-A049-47C9-894D-DEA778B4F79A}"/>
    <hyperlink ref="F38" r:id="rId9" display="https://www.google.com/search?client=firefox-b-d&amp;q=Protea+Chemicals+Kenya+Ltd.+" xr:uid="{21E18AD1-627F-4C0E-B611-923670570186}"/>
    <hyperlink ref="H13" r:id="rId10" xr:uid="{FA4CA09C-3C97-47A7-9BFD-81E97CB4924E}"/>
    <hyperlink ref="G26" r:id="rId11" display="mailto:info@manji.co.ke" xr:uid="{548003C5-DDA1-444F-924D-C18B4C1344B3}"/>
    <hyperlink ref="F26" r:id="rId12" display="tel:+254722203626" xr:uid="{D2F8EEB0-457F-43AE-A883-36387341E713}"/>
    <hyperlink ref="G11" r:id="rId13" display="mailto:info.ke@deheus.com" xr:uid="{7AEA6B6D-6955-4D55-8DE9-619A0A7B35C4}"/>
    <hyperlink ref="F11" r:id="rId14" display="tel:Tel. +254 742 521 632" xr:uid="{B2ED6105-1C6D-4E0B-951C-C2899DF7E48C}"/>
    <hyperlink ref="H11" r:id="rId15" xr:uid="{6CFC0922-91AA-4483-AB3F-755E68A99A68}"/>
    <hyperlink ref="G8" r:id="rId16" display="mailto:info@belmill.com" xr:uid="{F02AF9CE-01EA-4845-940E-8ACA21A019F4}"/>
    <hyperlink ref="G34" r:id="rId17" display="mailto:info@newkcc.co.ke" xr:uid="{23365281-D655-4E42-92C5-7ABB56144C31}"/>
    <hyperlink ref="F34" r:id="rId18" display="https://wa.me/254780936557" xr:uid="{FCEC79BD-FEC5-478D-A300-AC23326E2D41}"/>
    <hyperlink ref="G12" r:id="rId19" display="mailto:info@desbrokenya.com" xr:uid="{5E4E61BB-8703-45EF-8EF6-07D4AC12076A}"/>
    <hyperlink ref="H12" r:id="rId20" display="https://www.desbrogroup.com/" xr:uid="{2EB14793-18C1-4FF9-B8E2-2E1C8A441467}"/>
    <hyperlink ref="F12" r:id="rId21" display="tel:+254 - 020 - 557600" xr:uid="{17686A71-BDD0-4633-9832-F69AAD726464}"/>
    <hyperlink ref="G36" r:id="rId22" display="mailto:orbit@orbitchem.com" xr:uid="{6113F081-7ED8-47DB-99A3-C7CAB2F47148}"/>
    <hyperlink ref="G2" r:id="rId23" display="mailto:admin@athirivertanneries.co.ke" xr:uid="{CC254AA8-06D4-47B2-8B6C-20A3B8B7F5B0}"/>
    <hyperlink ref="F7" r:id="rId24" display="tel:+254724237000" xr:uid="{F0C3D837-F78E-41E4-9AB3-003DEB45EADE}"/>
    <hyperlink ref="F19" r:id="rId25" display="https://www.google.com/search?client=firefox-b-d&amp;q=IMCD+Kenya+" xr:uid="{1A34A30A-6E2B-41C7-BB80-B5C6A3D9FEE0}"/>
    <hyperlink ref="G30" r:id="rId26" display="mailto:saleskenya@miavit.com" xr:uid="{866A0299-1FC7-49A7-AAFD-6901D551C09B}"/>
    <hyperlink ref="G31" r:id="rId27" display="mailto:362407713@qq.com" xr:uid="{BF3C8E25-BB3C-4EC4-93B9-D37B7EE6C7EF}"/>
    <hyperlink ref="F31" r:id="rId28" display="tel:+254701206666" xr:uid="{C2D0703E-0628-460F-BECC-29A39540D631}"/>
    <hyperlink ref="F47" r:id="rId29" display="https://www.google.com/search?client=firefox-b-d&amp;q=Uchumi+Chemicals+Limited+" xr:uid="{4631D6A4-E6C7-4D8A-BDF2-4719589B5B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Cleaned_Jordan_Companies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2026-07-14T07:18:56Z</dcterms:created>
  <dcterms:modified xsi:type="dcterms:W3CDTF">2026-07-21T09:55:49Z</dcterms:modified>
</cp:coreProperties>
</file>